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-my.sharepoint.com/personal/jaraujo_metropolitan-touring_com/Documents/TripleTen/Webinars/DS/12 Proyecto II/"/>
    </mc:Choice>
  </mc:AlternateContent>
  <xr:revisionPtr revIDLastSave="3" documentId="8_{846ED9C4-DC62-477B-800F-F6CFA060CA17}" xr6:coauthVersionLast="47" xr6:coauthVersionMax="47" xr10:uidLastSave="{AFED8695-2F9A-475F-8EF6-A476614F43B2}"/>
  <bookViews>
    <workbookView xWindow="-108" yWindow="-108" windowWidth="23256" windowHeight="12456" xr2:uid="{B08B28B2-730F-4F06-96A6-10DFA132D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L4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2" i="1"/>
  <c r="J17" i="1"/>
  <c r="J18" i="1"/>
  <c r="J24" i="1"/>
  <c r="J28" i="1"/>
  <c r="J32" i="1"/>
  <c r="J33" i="1"/>
  <c r="J34" i="1"/>
  <c r="J40" i="1"/>
  <c r="J44" i="1"/>
  <c r="F3" i="1"/>
  <c r="J3" i="1" s="1"/>
  <c r="G3" i="1"/>
  <c r="H3" i="1"/>
  <c r="I3" i="1"/>
  <c r="F4" i="1"/>
  <c r="J4" i="1" s="1"/>
  <c r="G4" i="1"/>
  <c r="H4" i="1"/>
  <c r="I4" i="1"/>
  <c r="F5" i="1"/>
  <c r="J5" i="1" s="1"/>
  <c r="G5" i="1"/>
  <c r="H5" i="1"/>
  <c r="I5" i="1"/>
  <c r="F6" i="1"/>
  <c r="J6" i="1" s="1"/>
  <c r="G6" i="1"/>
  <c r="H6" i="1"/>
  <c r="I6" i="1"/>
  <c r="F7" i="1"/>
  <c r="J7" i="1" s="1"/>
  <c r="G7" i="1"/>
  <c r="H7" i="1"/>
  <c r="I7" i="1"/>
  <c r="F8" i="1"/>
  <c r="J8" i="1" s="1"/>
  <c r="G8" i="1"/>
  <c r="H8" i="1"/>
  <c r="I8" i="1"/>
  <c r="F9" i="1"/>
  <c r="J9" i="1" s="1"/>
  <c r="G9" i="1"/>
  <c r="H9" i="1"/>
  <c r="I9" i="1"/>
  <c r="F10" i="1"/>
  <c r="J10" i="1" s="1"/>
  <c r="G10" i="1"/>
  <c r="H10" i="1"/>
  <c r="I10" i="1"/>
  <c r="F11" i="1"/>
  <c r="J11" i="1" s="1"/>
  <c r="G11" i="1"/>
  <c r="H11" i="1"/>
  <c r="I11" i="1"/>
  <c r="F12" i="1"/>
  <c r="J12" i="1" s="1"/>
  <c r="G12" i="1"/>
  <c r="H12" i="1"/>
  <c r="I12" i="1"/>
  <c r="F13" i="1"/>
  <c r="J13" i="1" s="1"/>
  <c r="G13" i="1"/>
  <c r="H13" i="1"/>
  <c r="I13" i="1"/>
  <c r="F14" i="1"/>
  <c r="J14" i="1" s="1"/>
  <c r="G14" i="1"/>
  <c r="H14" i="1"/>
  <c r="I14" i="1"/>
  <c r="F15" i="1"/>
  <c r="J15" i="1" s="1"/>
  <c r="G15" i="1"/>
  <c r="H15" i="1"/>
  <c r="I15" i="1"/>
  <c r="F16" i="1"/>
  <c r="J16" i="1" s="1"/>
  <c r="G16" i="1"/>
  <c r="H16" i="1"/>
  <c r="I16" i="1"/>
  <c r="F17" i="1"/>
  <c r="G17" i="1"/>
  <c r="H17" i="1"/>
  <c r="I17" i="1"/>
  <c r="F18" i="1"/>
  <c r="G18" i="1"/>
  <c r="H18" i="1"/>
  <c r="I18" i="1"/>
  <c r="F19" i="1"/>
  <c r="J19" i="1" s="1"/>
  <c r="G19" i="1"/>
  <c r="H19" i="1"/>
  <c r="I19" i="1"/>
  <c r="F20" i="1"/>
  <c r="J20" i="1" s="1"/>
  <c r="G20" i="1"/>
  <c r="H20" i="1"/>
  <c r="I20" i="1"/>
  <c r="F21" i="1"/>
  <c r="J21" i="1" s="1"/>
  <c r="G21" i="1"/>
  <c r="H21" i="1"/>
  <c r="I21" i="1"/>
  <c r="F22" i="1"/>
  <c r="J22" i="1" s="1"/>
  <c r="G22" i="1"/>
  <c r="H22" i="1"/>
  <c r="I22" i="1"/>
  <c r="F23" i="1"/>
  <c r="J23" i="1" s="1"/>
  <c r="G23" i="1"/>
  <c r="H23" i="1"/>
  <c r="I23" i="1"/>
  <c r="F24" i="1"/>
  <c r="G24" i="1"/>
  <c r="H24" i="1"/>
  <c r="I24" i="1"/>
  <c r="F25" i="1"/>
  <c r="J25" i="1" s="1"/>
  <c r="G25" i="1"/>
  <c r="H25" i="1"/>
  <c r="I25" i="1"/>
  <c r="F26" i="1"/>
  <c r="J26" i="1" s="1"/>
  <c r="G26" i="1"/>
  <c r="H26" i="1"/>
  <c r="I26" i="1"/>
  <c r="F27" i="1"/>
  <c r="J27" i="1" s="1"/>
  <c r="G27" i="1"/>
  <c r="H27" i="1"/>
  <c r="I27" i="1"/>
  <c r="F28" i="1"/>
  <c r="G28" i="1"/>
  <c r="H28" i="1"/>
  <c r="I28" i="1"/>
  <c r="F29" i="1"/>
  <c r="J29" i="1" s="1"/>
  <c r="G29" i="1"/>
  <c r="H29" i="1"/>
  <c r="I29" i="1"/>
  <c r="F30" i="1"/>
  <c r="J30" i="1" s="1"/>
  <c r="G30" i="1"/>
  <c r="H30" i="1"/>
  <c r="I30" i="1"/>
  <c r="F31" i="1"/>
  <c r="J31" i="1" s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J35" i="1" s="1"/>
  <c r="G35" i="1"/>
  <c r="H35" i="1"/>
  <c r="I35" i="1"/>
  <c r="F36" i="1"/>
  <c r="J36" i="1" s="1"/>
  <c r="G36" i="1"/>
  <c r="H36" i="1"/>
  <c r="I36" i="1"/>
  <c r="F37" i="1"/>
  <c r="J37" i="1" s="1"/>
  <c r="G37" i="1"/>
  <c r="H37" i="1"/>
  <c r="I37" i="1"/>
  <c r="F38" i="1"/>
  <c r="J38" i="1" s="1"/>
  <c r="G38" i="1"/>
  <c r="H38" i="1"/>
  <c r="I38" i="1"/>
  <c r="F39" i="1"/>
  <c r="J39" i="1" s="1"/>
  <c r="G39" i="1"/>
  <c r="H39" i="1"/>
  <c r="I39" i="1"/>
  <c r="F40" i="1"/>
  <c r="G40" i="1"/>
  <c r="H40" i="1"/>
  <c r="I40" i="1"/>
  <c r="F41" i="1"/>
  <c r="J41" i="1" s="1"/>
  <c r="G41" i="1"/>
  <c r="H41" i="1"/>
  <c r="I41" i="1"/>
  <c r="F42" i="1"/>
  <c r="J42" i="1" s="1"/>
  <c r="G42" i="1"/>
  <c r="H42" i="1"/>
  <c r="I42" i="1"/>
  <c r="F43" i="1"/>
  <c r="J43" i="1" s="1"/>
  <c r="G43" i="1"/>
  <c r="H43" i="1"/>
  <c r="I43" i="1"/>
  <c r="F44" i="1"/>
  <c r="G44" i="1"/>
  <c r="H44" i="1"/>
  <c r="I44" i="1"/>
  <c r="F45" i="1"/>
  <c r="J45" i="1" s="1"/>
  <c r="G45" i="1"/>
  <c r="H45" i="1"/>
  <c r="I45" i="1"/>
  <c r="F46" i="1"/>
  <c r="J46" i="1" s="1"/>
  <c r="G46" i="1"/>
  <c r="H46" i="1"/>
  <c r="I46" i="1"/>
  <c r="G2" i="1"/>
  <c r="J2" i="1" s="1"/>
  <c r="H2" i="1"/>
  <c r="I2" i="1"/>
  <c r="F2" i="1"/>
</calcChain>
</file>

<file path=xl/sharedStrings.xml><?xml version="1.0" encoding="utf-8"?>
<sst xmlns="http://schemas.openxmlformats.org/spreadsheetml/2006/main" count="190" uniqueCount="25">
  <si>
    <t>temporada</t>
  </si>
  <si>
    <t>dias</t>
  </si>
  <si>
    <t>disponibilidad</t>
  </si>
  <si>
    <t>descuento</t>
  </si>
  <si>
    <t>peak</t>
  </si>
  <si>
    <t>00_30</t>
  </si>
  <si>
    <t>baja</t>
  </si>
  <si>
    <t>media</t>
  </si>
  <si>
    <t>alta</t>
  </si>
  <si>
    <t>30_60</t>
  </si>
  <si>
    <t>60_120</t>
  </si>
  <si>
    <t>120_180</t>
  </si>
  <si>
    <t>180_365</t>
  </si>
  <si>
    <t>regular</t>
  </si>
  <si>
    <t>low</t>
  </si>
  <si>
    <t>alto</t>
  </si>
  <si>
    <t>bajo</t>
  </si>
  <si>
    <t>moderado</t>
  </si>
  <si>
    <t>muy_alto</t>
  </si>
  <si>
    <t>Condiciones</t>
  </si>
  <si>
    <t>Decision</t>
  </si>
  <si>
    <t>Definicion</t>
  </si>
  <si>
    <t>rule_01 = ctrl.Rule(temporada['peak'] &amp; dias['00_30'] &amp; disponibilidad['baja'], descuento['moderado'])
rule_02 = ctrl.Rule(temporada['peak'] &amp; dias['00_30'] &amp; disponibilidad['media'], descuento['alto'])
rule_03 = ctrl.Rule(temporada['peak'] &amp; dias['00_30'] &amp; disponibilidad['alta'], descuento['alto'])
rule_04 = ctrl.Rule(temporada['peak'] &amp; dias['30_60'] &amp; disponibilidad['baja'], descuento['bajo'])
rule_05 = ctrl.Rule(temporada['peak'] &amp; dias['30_60'] &amp; disponibilidad['media'], descuento['moderado'])
rule_06 = ctrl.Rule(temporada['peak'] &amp; dias['30_60'] &amp; disponibilidad['alta'], descuento['moderado'])
rule_07 = ctrl.Rule(temporada['peak'] &amp; dias['60_120'] &amp; disponibilidad['baja'], descuento['bajo'])
rule_08 = ctrl.Rule(temporada['peak'] &amp; dias['60_120'] &amp; disponibilidad['media'], descuento['bajo'])
rule_09 = ctrl.Rule(temporada['peak'] &amp; dias['60_120'] &amp; disponibilidad['alta'], descuento['moderado'])
rule_10 = ctrl.Rule(temporada['peak'] &amp; dias['120_180'] &amp; disponibilidad['baja'], descuento['bajo'])
rule_11 = ctrl.Rule(temporada['peak'] &amp; dias['120_180'] &amp; disponibilidad['media'], descuento['bajo'])
rule_12 = ctrl.Rule(temporada['peak'] &amp; dias['120_180'] &amp; disponibilidad['alta'], descuento['bajo'])
rule_13 = ctrl.Rule(temporada['peak'] &amp; dias['180_365'] &amp; disponibilidad['baja'], descuento['bajo'])
rule_14 = ctrl.Rule(temporada['peak'] &amp; dias['180_365'] &amp; disponibilidad['media'], descuento['bajo'])
rule_15 = ctrl.Rule(temporada['peak'] &amp; dias['180_365'] &amp; disponibilidad['alta'], descuento['bajo'])
rule_16 = ctrl.Rule(temporada['regular'] &amp; dias['00_30'] &amp; disponibilidad['baja'], descuento['bajo'])
rule_17 = ctrl.Rule(temporada['regular'] &amp; dias['00_30'] &amp; disponibilidad['media'], descuento['moderado'])
rule_18 = ctrl.Rule(temporada['regular'] &amp; dias['00_30'] &amp; disponibilidad['alta'], descuento['alto'])
rule_19 = ctrl.Rule(temporada['regular'] &amp; dias['30_60'] &amp; disponibilidad['baja'], descuento['bajo'])
rule_20 = ctrl.Rule(temporada['regular'] &amp; dias['30_60'] &amp; disponibilidad['media'], descuento['moderado'])
rule_21 = ctrl.Rule(temporada['regular'] &amp; dias['30_60'] &amp; disponibilidad['alta'], descuento['moderado'])
rule_22 = ctrl.Rule(temporada['regular'] &amp; dias['60_120'] &amp; disponibilidad['baja'], descuento['bajo'])
rule_23 = ctrl.Rule(temporada['regular'] &amp; dias['60_120'] &amp; disponibilidad['media'], descuento['bajo'])
rule_24 = ctrl.Rule(temporada['regular'] &amp; dias['60_120'] &amp; disponibilidad['alta'], descuento['moderado'])
rule_25 = ctrl.Rule(temporada['regular'] &amp; dias['120_180'] &amp; disponibilidad['baja'], descuento['bajo'])
rule_26 = ctrl.Rule(temporada['regular'] &amp; dias['120_180'] &amp; disponibilidad['media'], descuento['bajo'])
rule_27 = ctrl.Rule(temporada['regular'] &amp; dias['120_180'] &amp; disponibilidad['alta'], descuento['moderado'])
rule_28 = ctrl.Rule(temporada['regular'] &amp; dias['180_365'] &amp; disponibilidad['baja'], descuento['bajo'])
rule_29 = ctrl.Rule(temporada['regular'] &amp; dias['180_365'] &amp; disponibilidad['media'], descuento['bajo'])
rule_30 = ctrl.Rule(temporada['regular'] &amp; dias['180_365'] &amp; disponibilidad['alta'], descuento['bajo'])
rule_31 = ctrl.Rule(temporada['low'] &amp; dias['00_30'] &amp; disponibilidad['baja'], descuento['alto'])
rule_32 = ctrl.Rule(temporada['low'] &amp; dias['00_30'] &amp; disponibilidad['media'], descuento['muy_alto'])
rule_33 = ctrl.Rule(temporada['low'] &amp; dias['00_30'] &amp; disponibilidad['alta'], descuento['muy_alto'])
rule_34 = ctrl.Rule(temporada['low'] &amp; dias['30_60'] &amp; disponibilidad['baja'], descuento['alto'])
rule_35 = ctrl.Rule(temporada['low'] &amp; dias['30_60'] &amp; disponibilidad['media'], descuento['alto'])
rule_36 = ctrl.Rule(temporada['low'] &amp; dias['30_60'] &amp; disponibilidad['alta'], descuento['muy_alto'])
rule_37 = ctrl.Rule(temporada['low'] &amp; dias['60_120'] &amp; disponibilidad['baja'], descuento['bajo'])
rule_38 = ctrl.Rule(temporada['low'] &amp; dias['60_120'] &amp; disponibilidad['media'], descuento['moderado'])
rule_39 = ctrl.Rule(temporada['low'] &amp; dias['60_120'] &amp; disponibilidad['alta'], descuento['alto'])
rule_40 = ctrl.Rule(temporada['low'] &amp; dias['120_180'] &amp; disponibilidad['baja'], descuento['bajo'])
rule_41 = ctrl.Rule(temporada['low'] &amp; dias['120_180'] &amp; disponibilidad['media'], descuento['bajo'])
rule_42 = ctrl.Rule(temporada['low'] &amp; dias['120_180'] &amp; disponibilidad['alta'], descuento['moderado'])
rule_43 = ctrl.Rule(temporada['low'] &amp; dias['180_365'] &amp; disponibilidad['baja'], descuento['bajo'])
rule_44 = ctrl.Rule(temporada['low'] &amp; dias['180_365'] &amp; disponibilidad['media'], descuento['bajo'])
rule_45 = ctrl.Rule(temporada['low'] &amp; dias['180_365'] &amp; disponibilidad['alta'], descuento['moderado'])</t>
  </si>
  <si>
    <t>rule_01,rule_02,rule_03,rule_04,rule_05,rule_06,rule_07,rule_08,rule_09,rule_10,rule_11,rule_12,rule_13,rule_14,rule_15,rule_16,rule_17,rule_18,rule_19,rule_20,rule_21,rule_22,rule_23,rule_24,rule_25,rule_26,rule_27,rule_28,rule_29,rule_30,rule_31,rule_32,rule_33,rule_34,rule_35,rule_36,rule_37,rule_38,rule_39,rule_40,rule_41,rule_42,rule_43,rule_44,rule_45</t>
  </si>
  <si>
    <t>regla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</si>
</sst>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7B13-D709-41D2-BF84-28EB513CB430}">
  <dimension ref="A1:L49"/>
  <sheetViews>
    <sheetView tabSelected="1" topLeftCell="A17" zoomScale="85" zoomScaleNormal="85" workbookViewId="0">
      <selection sqref="A1:E46"/>
    </sheetView>
  </sheetViews>
  <sheetFormatPr defaultRowHeight="14.4" x14ac:dyDescent="0.3"/>
  <cols>
    <col min="2" max="5" width="16.6640625" customWidth="1"/>
    <col min="6" max="9" width="17.44140625" customWidth="1"/>
    <col min="10" max="10" width="55.6640625" customWidth="1"/>
  </cols>
  <sheetData>
    <row r="1" spans="1:12" x14ac:dyDescent="0.3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I1" s="1" t="s">
        <v>20</v>
      </c>
      <c r="J1" s="1" t="s">
        <v>19</v>
      </c>
      <c r="K1" s="1" t="s">
        <v>21</v>
      </c>
    </row>
    <row r="2" spans="1:12" x14ac:dyDescent="0.3">
      <c r="A2">
        <v>1</v>
      </c>
      <c r="B2" t="s">
        <v>4</v>
      </c>
      <c r="C2" t="s">
        <v>5</v>
      </c>
      <c r="D2" t="s">
        <v>6</v>
      </c>
      <c r="E2" t="s">
        <v>17</v>
      </c>
      <c r="F2" t="str">
        <f>B$1&amp;"['"&amp;B2&amp;"']"</f>
        <v>temporada['peak']</v>
      </c>
      <c r="G2" t="str">
        <f t="shared" ref="G2:I2" si="0">C$1&amp;"['"&amp;C2&amp;"']"</f>
        <v>dias['00_30']</v>
      </c>
      <c r="H2" t="str">
        <f t="shared" si="0"/>
        <v>disponibilidad['baja']</v>
      </c>
      <c r="I2" t="str">
        <f t="shared" si="0"/>
        <v>descuento['moderado']</v>
      </c>
      <c r="J2" t="str">
        <f>F2&amp;" &amp; "&amp;G2&amp;" &amp; "&amp;H2</f>
        <v>temporada['peak'] &amp; dias['00_30'] &amp; disponibilidad['baja']</v>
      </c>
      <c r="K2" t="str">
        <f>"rule_"&amp;TEXT(A2,"00")</f>
        <v>rule_01</v>
      </c>
      <c r="L2" t="str">
        <f>K2&amp;" = "&amp;"ctrl.Rule("&amp;J2&amp;", "&amp;I2&amp;")"</f>
        <v>rule_01 = ctrl.Rule(temporada['peak'] &amp; dias['00_30'] &amp; disponibilidad['baja'], descuento['moderado'])</v>
      </c>
    </row>
    <row r="3" spans="1:12" x14ac:dyDescent="0.3">
      <c r="A3">
        <v>2</v>
      </c>
      <c r="B3" t="s">
        <v>4</v>
      </c>
      <c r="C3" t="s">
        <v>5</v>
      </c>
      <c r="D3" t="s">
        <v>7</v>
      </c>
      <c r="E3" t="s">
        <v>15</v>
      </c>
      <c r="F3" t="str">
        <f t="shared" ref="F3:F46" si="1">B$1&amp;"['"&amp;B3&amp;"']"</f>
        <v>temporada['peak']</v>
      </c>
      <c r="G3" t="str">
        <f t="shared" ref="G3:G46" si="2">C$1&amp;"['"&amp;C3&amp;"']"</f>
        <v>dias['00_30']</v>
      </c>
      <c r="H3" t="str">
        <f t="shared" ref="H3:H46" si="3">D$1&amp;"['"&amp;D3&amp;"']"</f>
        <v>disponibilidad['media']</v>
      </c>
      <c r="I3" t="str">
        <f t="shared" ref="I3:I46" si="4">E$1&amp;"['"&amp;E3&amp;"']"</f>
        <v>descuento['alto']</v>
      </c>
      <c r="J3" t="str">
        <f t="shared" ref="J3:J46" si="5">F3&amp;" &amp; "&amp;G3&amp;" &amp; "&amp;H3</f>
        <v>temporada['peak'] &amp; dias['00_30'] &amp; disponibilidad['media']</v>
      </c>
      <c r="K3" t="str">
        <f t="shared" ref="K3:K46" si="6">"rule_"&amp;TEXT(A3,"00")</f>
        <v>rule_02</v>
      </c>
      <c r="L3" t="str">
        <f t="shared" ref="L3:L46" si="7">K3&amp;" = "&amp;"ctrl.Rule("&amp;J3&amp;", "&amp;I3&amp;")"</f>
        <v>rule_02 = ctrl.Rule(temporada['peak'] &amp; dias['00_30'] &amp; disponibilidad['media'], descuento['alto'])</v>
      </c>
    </row>
    <row r="4" spans="1:12" x14ac:dyDescent="0.3">
      <c r="A4">
        <v>3</v>
      </c>
      <c r="B4" t="s">
        <v>4</v>
      </c>
      <c r="C4" t="s">
        <v>5</v>
      </c>
      <c r="D4" t="s">
        <v>8</v>
      </c>
      <c r="E4" t="s">
        <v>15</v>
      </c>
      <c r="F4" t="str">
        <f t="shared" si="1"/>
        <v>temporada['peak']</v>
      </c>
      <c r="G4" t="str">
        <f t="shared" si="2"/>
        <v>dias['00_30']</v>
      </c>
      <c r="H4" t="str">
        <f t="shared" si="3"/>
        <v>disponibilidad['alta']</v>
      </c>
      <c r="I4" t="str">
        <f t="shared" si="4"/>
        <v>descuento['alto']</v>
      </c>
      <c r="J4" t="str">
        <f t="shared" si="5"/>
        <v>temporada['peak'] &amp; dias['00_30'] &amp; disponibilidad['alta']</v>
      </c>
      <c r="K4" t="str">
        <f t="shared" si="6"/>
        <v>rule_03</v>
      </c>
      <c r="L4" t="str">
        <f t="shared" si="7"/>
        <v>rule_03 = ctrl.Rule(temporada['peak'] &amp; dias['00_30'] &amp; disponibilidad['alta'], descuento['alto'])</v>
      </c>
    </row>
    <row r="5" spans="1:12" x14ac:dyDescent="0.3">
      <c r="A5">
        <v>4</v>
      </c>
      <c r="B5" t="s">
        <v>4</v>
      </c>
      <c r="C5" t="s">
        <v>9</v>
      </c>
      <c r="D5" t="s">
        <v>6</v>
      </c>
      <c r="E5" t="s">
        <v>16</v>
      </c>
      <c r="F5" t="str">
        <f t="shared" si="1"/>
        <v>temporada['peak']</v>
      </c>
      <c r="G5" t="str">
        <f t="shared" si="2"/>
        <v>dias['30_60']</v>
      </c>
      <c r="H5" t="str">
        <f t="shared" si="3"/>
        <v>disponibilidad['baja']</v>
      </c>
      <c r="I5" t="str">
        <f t="shared" si="4"/>
        <v>descuento['bajo']</v>
      </c>
      <c r="J5" t="str">
        <f t="shared" si="5"/>
        <v>temporada['peak'] &amp; dias['30_60'] &amp; disponibilidad['baja']</v>
      </c>
      <c r="K5" t="str">
        <f t="shared" si="6"/>
        <v>rule_04</v>
      </c>
      <c r="L5" t="str">
        <f t="shared" si="7"/>
        <v>rule_04 = ctrl.Rule(temporada['peak'] &amp; dias['30_60'] &amp; disponibilidad['baja'], descuento['bajo'])</v>
      </c>
    </row>
    <row r="6" spans="1:12" x14ac:dyDescent="0.3">
      <c r="A6">
        <v>5</v>
      </c>
      <c r="B6" t="s">
        <v>4</v>
      </c>
      <c r="C6" t="s">
        <v>9</v>
      </c>
      <c r="D6" t="s">
        <v>7</v>
      </c>
      <c r="E6" t="s">
        <v>17</v>
      </c>
      <c r="F6" t="str">
        <f t="shared" si="1"/>
        <v>temporada['peak']</v>
      </c>
      <c r="G6" t="str">
        <f t="shared" si="2"/>
        <v>dias['30_60']</v>
      </c>
      <c r="H6" t="str">
        <f t="shared" si="3"/>
        <v>disponibilidad['media']</v>
      </c>
      <c r="I6" t="str">
        <f t="shared" si="4"/>
        <v>descuento['moderado']</v>
      </c>
      <c r="J6" t="str">
        <f t="shared" si="5"/>
        <v>temporada['peak'] &amp; dias['30_60'] &amp; disponibilidad['media']</v>
      </c>
      <c r="K6" t="str">
        <f t="shared" si="6"/>
        <v>rule_05</v>
      </c>
      <c r="L6" t="str">
        <f t="shared" si="7"/>
        <v>rule_05 = ctrl.Rule(temporada['peak'] &amp; dias['30_60'] &amp; disponibilidad['media'], descuento['moderado'])</v>
      </c>
    </row>
    <row r="7" spans="1:12" x14ac:dyDescent="0.3">
      <c r="A7">
        <v>6</v>
      </c>
      <c r="B7" t="s">
        <v>4</v>
      </c>
      <c r="C7" t="s">
        <v>9</v>
      </c>
      <c r="D7" t="s">
        <v>8</v>
      </c>
      <c r="E7" t="s">
        <v>17</v>
      </c>
      <c r="F7" t="str">
        <f t="shared" si="1"/>
        <v>temporada['peak']</v>
      </c>
      <c r="G7" t="str">
        <f t="shared" si="2"/>
        <v>dias['30_60']</v>
      </c>
      <c r="H7" t="str">
        <f t="shared" si="3"/>
        <v>disponibilidad['alta']</v>
      </c>
      <c r="I7" t="str">
        <f t="shared" si="4"/>
        <v>descuento['moderado']</v>
      </c>
      <c r="J7" t="str">
        <f t="shared" si="5"/>
        <v>temporada['peak'] &amp; dias['30_60'] &amp; disponibilidad['alta']</v>
      </c>
      <c r="K7" t="str">
        <f t="shared" si="6"/>
        <v>rule_06</v>
      </c>
      <c r="L7" t="str">
        <f t="shared" si="7"/>
        <v>rule_06 = ctrl.Rule(temporada['peak'] &amp; dias['30_60'] &amp; disponibilidad['alta'], descuento['moderado'])</v>
      </c>
    </row>
    <row r="8" spans="1:12" x14ac:dyDescent="0.3">
      <c r="A8">
        <v>7</v>
      </c>
      <c r="B8" t="s">
        <v>4</v>
      </c>
      <c r="C8" t="s">
        <v>10</v>
      </c>
      <c r="D8" t="s">
        <v>6</v>
      </c>
      <c r="E8" t="s">
        <v>16</v>
      </c>
      <c r="F8" t="str">
        <f t="shared" si="1"/>
        <v>temporada['peak']</v>
      </c>
      <c r="G8" t="str">
        <f t="shared" si="2"/>
        <v>dias['60_120']</v>
      </c>
      <c r="H8" t="str">
        <f t="shared" si="3"/>
        <v>disponibilidad['baja']</v>
      </c>
      <c r="I8" t="str">
        <f t="shared" si="4"/>
        <v>descuento['bajo']</v>
      </c>
      <c r="J8" t="str">
        <f t="shared" si="5"/>
        <v>temporada['peak'] &amp; dias['60_120'] &amp; disponibilidad['baja']</v>
      </c>
      <c r="K8" t="str">
        <f t="shared" si="6"/>
        <v>rule_07</v>
      </c>
      <c r="L8" t="str">
        <f t="shared" si="7"/>
        <v>rule_07 = ctrl.Rule(temporada['peak'] &amp; dias['60_120'] &amp; disponibilidad['baja'], descuento['bajo'])</v>
      </c>
    </row>
    <row r="9" spans="1:12" x14ac:dyDescent="0.3">
      <c r="A9">
        <v>8</v>
      </c>
      <c r="B9" t="s">
        <v>4</v>
      </c>
      <c r="C9" t="s">
        <v>10</v>
      </c>
      <c r="D9" t="s">
        <v>7</v>
      </c>
      <c r="E9" t="s">
        <v>16</v>
      </c>
      <c r="F9" t="str">
        <f t="shared" si="1"/>
        <v>temporada['peak']</v>
      </c>
      <c r="G9" t="str">
        <f t="shared" si="2"/>
        <v>dias['60_120']</v>
      </c>
      <c r="H9" t="str">
        <f t="shared" si="3"/>
        <v>disponibilidad['media']</v>
      </c>
      <c r="I9" t="str">
        <f t="shared" si="4"/>
        <v>descuento['bajo']</v>
      </c>
      <c r="J9" t="str">
        <f t="shared" si="5"/>
        <v>temporada['peak'] &amp; dias['60_120'] &amp; disponibilidad['media']</v>
      </c>
      <c r="K9" t="str">
        <f t="shared" si="6"/>
        <v>rule_08</v>
      </c>
      <c r="L9" t="str">
        <f t="shared" si="7"/>
        <v>rule_08 = ctrl.Rule(temporada['peak'] &amp; dias['60_120'] &amp; disponibilidad['media'], descuento['bajo'])</v>
      </c>
    </row>
    <row r="10" spans="1:12" x14ac:dyDescent="0.3">
      <c r="A10">
        <v>9</v>
      </c>
      <c r="B10" t="s">
        <v>4</v>
      </c>
      <c r="C10" t="s">
        <v>10</v>
      </c>
      <c r="D10" t="s">
        <v>8</v>
      </c>
      <c r="E10" t="s">
        <v>17</v>
      </c>
      <c r="F10" t="str">
        <f t="shared" si="1"/>
        <v>temporada['peak']</v>
      </c>
      <c r="G10" t="str">
        <f t="shared" si="2"/>
        <v>dias['60_120']</v>
      </c>
      <c r="H10" t="str">
        <f t="shared" si="3"/>
        <v>disponibilidad['alta']</v>
      </c>
      <c r="I10" t="str">
        <f t="shared" si="4"/>
        <v>descuento['moderado']</v>
      </c>
      <c r="J10" t="str">
        <f t="shared" si="5"/>
        <v>temporada['peak'] &amp; dias['60_120'] &amp; disponibilidad['alta']</v>
      </c>
      <c r="K10" t="str">
        <f t="shared" si="6"/>
        <v>rule_09</v>
      </c>
      <c r="L10" t="str">
        <f t="shared" si="7"/>
        <v>rule_09 = ctrl.Rule(temporada['peak'] &amp; dias['60_120'] &amp; disponibilidad['alta'], descuento['moderado'])</v>
      </c>
    </row>
    <row r="11" spans="1:12" x14ac:dyDescent="0.3">
      <c r="A11">
        <v>10</v>
      </c>
      <c r="B11" t="s">
        <v>4</v>
      </c>
      <c r="C11" t="s">
        <v>11</v>
      </c>
      <c r="D11" t="s">
        <v>6</v>
      </c>
      <c r="E11" t="s">
        <v>16</v>
      </c>
      <c r="F11" t="str">
        <f t="shared" si="1"/>
        <v>temporada['peak']</v>
      </c>
      <c r="G11" t="str">
        <f t="shared" si="2"/>
        <v>dias['120_180']</v>
      </c>
      <c r="H11" t="str">
        <f t="shared" si="3"/>
        <v>disponibilidad['baja']</v>
      </c>
      <c r="I11" t="str">
        <f t="shared" si="4"/>
        <v>descuento['bajo']</v>
      </c>
      <c r="J11" t="str">
        <f t="shared" si="5"/>
        <v>temporada['peak'] &amp; dias['120_180'] &amp; disponibilidad['baja']</v>
      </c>
      <c r="K11" t="str">
        <f t="shared" si="6"/>
        <v>rule_10</v>
      </c>
      <c r="L11" t="str">
        <f t="shared" si="7"/>
        <v>rule_10 = ctrl.Rule(temporada['peak'] &amp; dias['120_180'] &amp; disponibilidad['baja'], descuento['bajo'])</v>
      </c>
    </row>
    <row r="12" spans="1:12" x14ac:dyDescent="0.3">
      <c r="A12">
        <v>11</v>
      </c>
      <c r="B12" t="s">
        <v>4</v>
      </c>
      <c r="C12" t="s">
        <v>11</v>
      </c>
      <c r="D12" t="s">
        <v>7</v>
      </c>
      <c r="E12" t="s">
        <v>16</v>
      </c>
      <c r="F12" t="str">
        <f t="shared" si="1"/>
        <v>temporada['peak']</v>
      </c>
      <c r="G12" t="str">
        <f t="shared" si="2"/>
        <v>dias['120_180']</v>
      </c>
      <c r="H12" t="str">
        <f t="shared" si="3"/>
        <v>disponibilidad['media']</v>
      </c>
      <c r="I12" t="str">
        <f t="shared" si="4"/>
        <v>descuento['bajo']</v>
      </c>
      <c r="J12" t="str">
        <f t="shared" si="5"/>
        <v>temporada['peak'] &amp; dias['120_180'] &amp; disponibilidad['media']</v>
      </c>
      <c r="K12" t="str">
        <f t="shared" si="6"/>
        <v>rule_11</v>
      </c>
      <c r="L12" t="str">
        <f t="shared" si="7"/>
        <v>rule_11 = ctrl.Rule(temporada['peak'] &amp; dias['120_180'] &amp; disponibilidad['media'], descuento['bajo'])</v>
      </c>
    </row>
    <row r="13" spans="1:12" x14ac:dyDescent="0.3">
      <c r="A13">
        <v>12</v>
      </c>
      <c r="B13" t="s">
        <v>4</v>
      </c>
      <c r="C13" t="s">
        <v>11</v>
      </c>
      <c r="D13" t="s">
        <v>8</v>
      </c>
      <c r="E13" t="s">
        <v>16</v>
      </c>
      <c r="F13" t="str">
        <f t="shared" si="1"/>
        <v>temporada['peak']</v>
      </c>
      <c r="G13" t="str">
        <f t="shared" si="2"/>
        <v>dias['120_180']</v>
      </c>
      <c r="H13" t="str">
        <f t="shared" si="3"/>
        <v>disponibilidad['alta']</v>
      </c>
      <c r="I13" t="str">
        <f t="shared" si="4"/>
        <v>descuento['bajo']</v>
      </c>
      <c r="J13" t="str">
        <f t="shared" si="5"/>
        <v>temporada['peak'] &amp; dias['120_180'] &amp; disponibilidad['alta']</v>
      </c>
      <c r="K13" t="str">
        <f t="shared" si="6"/>
        <v>rule_12</v>
      </c>
      <c r="L13" t="str">
        <f t="shared" si="7"/>
        <v>rule_12 = ctrl.Rule(temporada['peak'] &amp; dias['120_180'] &amp; disponibilidad['alta'], descuento['bajo'])</v>
      </c>
    </row>
    <row r="14" spans="1:12" x14ac:dyDescent="0.3">
      <c r="A14">
        <v>13</v>
      </c>
      <c r="B14" t="s">
        <v>4</v>
      </c>
      <c r="C14" t="s">
        <v>12</v>
      </c>
      <c r="D14" t="s">
        <v>6</v>
      </c>
      <c r="E14" t="s">
        <v>16</v>
      </c>
      <c r="F14" t="str">
        <f t="shared" si="1"/>
        <v>temporada['peak']</v>
      </c>
      <c r="G14" t="str">
        <f t="shared" si="2"/>
        <v>dias['180_365']</v>
      </c>
      <c r="H14" t="str">
        <f t="shared" si="3"/>
        <v>disponibilidad['baja']</v>
      </c>
      <c r="I14" t="str">
        <f t="shared" si="4"/>
        <v>descuento['bajo']</v>
      </c>
      <c r="J14" t="str">
        <f t="shared" si="5"/>
        <v>temporada['peak'] &amp; dias['180_365'] &amp; disponibilidad['baja']</v>
      </c>
      <c r="K14" t="str">
        <f t="shared" si="6"/>
        <v>rule_13</v>
      </c>
      <c r="L14" t="str">
        <f t="shared" si="7"/>
        <v>rule_13 = ctrl.Rule(temporada['peak'] &amp; dias['180_365'] &amp; disponibilidad['baja'], descuento['bajo'])</v>
      </c>
    </row>
    <row r="15" spans="1:12" x14ac:dyDescent="0.3">
      <c r="A15">
        <v>14</v>
      </c>
      <c r="B15" t="s">
        <v>4</v>
      </c>
      <c r="C15" t="s">
        <v>12</v>
      </c>
      <c r="D15" t="s">
        <v>7</v>
      </c>
      <c r="E15" t="s">
        <v>16</v>
      </c>
      <c r="F15" t="str">
        <f t="shared" si="1"/>
        <v>temporada['peak']</v>
      </c>
      <c r="G15" t="str">
        <f t="shared" si="2"/>
        <v>dias['180_365']</v>
      </c>
      <c r="H15" t="str">
        <f t="shared" si="3"/>
        <v>disponibilidad['media']</v>
      </c>
      <c r="I15" t="str">
        <f t="shared" si="4"/>
        <v>descuento['bajo']</v>
      </c>
      <c r="J15" t="str">
        <f t="shared" si="5"/>
        <v>temporada['peak'] &amp; dias['180_365'] &amp; disponibilidad['media']</v>
      </c>
      <c r="K15" t="str">
        <f t="shared" si="6"/>
        <v>rule_14</v>
      </c>
      <c r="L15" t="str">
        <f t="shared" si="7"/>
        <v>rule_14 = ctrl.Rule(temporada['peak'] &amp; dias['180_365'] &amp; disponibilidad['media'], descuento['bajo'])</v>
      </c>
    </row>
    <row r="16" spans="1:12" x14ac:dyDescent="0.3">
      <c r="A16">
        <v>15</v>
      </c>
      <c r="B16" t="s">
        <v>4</v>
      </c>
      <c r="C16" t="s">
        <v>12</v>
      </c>
      <c r="D16" t="s">
        <v>8</v>
      </c>
      <c r="E16" t="s">
        <v>16</v>
      </c>
      <c r="F16" t="str">
        <f t="shared" si="1"/>
        <v>temporada['peak']</v>
      </c>
      <c r="G16" t="str">
        <f t="shared" si="2"/>
        <v>dias['180_365']</v>
      </c>
      <c r="H16" t="str">
        <f t="shared" si="3"/>
        <v>disponibilidad['alta']</v>
      </c>
      <c r="I16" t="str">
        <f t="shared" si="4"/>
        <v>descuento['bajo']</v>
      </c>
      <c r="J16" t="str">
        <f t="shared" si="5"/>
        <v>temporada['peak'] &amp; dias['180_365'] &amp; disponibilidad['alta']</v>
      </c>
      <c r="K16" t="str">
        <f t="shared" si="6"/>
        <v>rule_15</v>
      </c>
      <c r="L16" t="str">
        <f t="shared" si="7"/>
        <v>rule_15 = ctrl.Rule(temporada['peak'] &amp; dias['180_365'] &amp; disponibilidad['alta'], descuento['bajo'])</v>
      </c>
    </row>
    <row r="17" spans="1:12" x14ac:dyDescent="0.3">
      <c r="A17">
        <v>16</v>
      </c>
      <c r="B17" t="s">
        <v>13</v>
      </c>
      <c r="C17" t="s">
        <v>5</v>
      </c>
      <c r="D17" t="s">
        <v>6</v>
      </c>
      <c r="E17" t="s">
        <v>16</v>
      </c>
      <c r="F17" t="str">
        <f t="shared" si="1"/>
        <v>temporada['regular']</v>
      </c>
      <c r="G17" t="str">
        <f t="shared" si="2"/>
        <v>dias['00_30']</v>
      </c>
      <c r="H17" t="str">
        <f t="shared" si="3"/>
        <v>disponibilidad['baja']</v>
      </c>
      <c r="I17" t="str">
        <f t="shared" si="4"/>
        <v>descuento['bajo']</v>
      </c>
      <c r="J17" t="str">
        <f t="shared" si="5"/>
        <v>temporada['regular'] &amp; dias['00_30'] &amp; disponibilidad['baja']</v>
      </c>
      <c r="K17" t="str">
        <f t="shared" si="6"/>
        <v>rule_16</v>
      </c>
      <c r="L17" t="str">
        <f t="shared" si="7"/>
        <v>rule_16 = ctrl.Rule(temporada['regular'] &amp; dias['00_30'] &amp; disponibilidad['baja'], descuento['bajo'])</v>
      </c>
    </row>
    <row r="18" spans="1:12" x14ac:dyDescent="0.3">
      <c r="A18">
        <v>17</v>
      </c>
      <c r="B18" t="s">
        <v>13</v>
      </c>
      <c r="C18" t="s">
        <v>5</v>
      </c>
      <c r="D18" t="s">
        <v>7</v>
      </c>
      <c r="E18" t="s">
        <v>17</v>
      </c>
      <c r="F18" t="str">
        <f t="shared" si="1"/>
        <v>temporada['regular']</v>
      </c>
      <c r="G18" t="str">
        <f t="shared" si="2"/>
        <v>dias['00_30']</v>
      </c>
      <c r="H18" t="str">
        <f t="shared" si="3"/>
        <v>disponibilidad['media']</v>
      </c>
      <c r="I18" t="str">
        <f t="shared" si="4"/>
        <v>descuento['moderado']</v>
      </c>
      <c r="J18" t="str">
        <f t="shared" si="5"/>
        <v>temporada['regular'] &amp; dias['00_30'] &amp; disponibilidad['media']</v>
      </c>
      <c r="K18" t="str">
        <f t="shared" si="6"/>
        <v>rule_17</v>
      </c>
      <c r="L18" t="str">
        <f t="shared" si="7"/>
        <v>rule_17 = ctrl.Rule(temporada['regular'] &amp; dias['00_30'] &amp; disponibilidad['media'], descuento['moderado'])</v>
      </c>
    </row>
    <row r="19" spans="1:12" x14ac:dyDescent="0.3">
      <c r="A19">
        <v>18</v>
      </c>
      <c r="B19" t="s">
        <v>13</v>
      </c>
      <c r="C19" t="s">
        <v>5</v>
      </c>
      <c r="D19" t="s">
        <v>8</v>
      </c>
      <c r="E19" t="s">
        <v>15</v>
      </c>
      <c r="F19" t="str">
        <f t="shared" si="1"/>
        <v>temporada['regular']</v>
      </c>
      <c r="G19" t="str">
        <f t="shared" si="2"/>
        <v>dias['00_30']</v>
      </c>
      <c r="H19" t="str">
        <f t="shared" si="3"/>
        <v>disponibilidad['alta']</v>
      </c>
      <c r="I19" t="str">
        <f t="shared" si="4"/>
        <v>descuento['alto']</v>
      </c>
      <c r="J19" t="str">
        <f t="shared" si="5"/>
        <v>temporada['regular'] &amp; dias['00_30'] &amp; disponibilidad['alta']</v>
      </c>
      <c r="K19" t="str">
        <f t="shared" si="6"/>
        <v>rule_18</v>
      </c>
      <c r="L19" t="str">
        <f t="shared" si="7"/>
        <v>rule_18 = ctrl.Rule(temporada['regular'] &amp; dias['00_30'] &amp; disponibilidad['alta'], descuento['alto'])</v>
      </c>
    </row>
    <row r="20" spans="1:12" x14ac:dyDescent="0.3">
      <c r="A20">
        <v>19</v>
      </c>
      <c r="B20" t="s">
        <v>13</v>
      </c>
      <c r="C20" t="s">
        <v>9</v>
      </c>
      <c r="D20" t="s">
        <v>6</v>
      </c>
      <c r="E20" t="s">
        <v>16</v>
      </c>
      <c r="F20" t="str">
        <f t="shared" si="1"/>
        <v>temporada['regular']</v>
      </c>
      <c r="G20" t="str">
        <f t="shared" si="2"/>
        <v>dias['30_60']</v>
      </c>
      <c r="H20" t="str">
        <f t="shared" si="3"/>
        <v>disponibilidad['baja']</v>
      </c>
      <c r="I20" t="str">
        <f t="shared" si="4"/>
        <v>descuento['bajo']</v>
      </c>
      <c r="J20" t="str">
        <f t="shared" si="5"/>
        <v>temporada['regular'] &amp; dias['30_60'] &amp; disponibilidad['baja']</v>
      </c>
      <c r="K20" t="str">
        <f t="shared" si="6"/>
        <v>rule_19</v>
      </c>
      <c r="L20" t="str">
        <f t="shared" si="7"/>
        <v>rule_19 = ctrl.Rule(temporada['regular'] &amp; dias['30_60'] &amp; disponibilidad['baja'], descuento['bajo'])</v>
      </c>
    </row>
    <row r="21" spans="1:12" x14ac:dyDescent="0.3">
      <c r="A21">
        <v>20</v>
      </c>
      <c r="B21" t="s">
        <v>13</v>
      </c>
      <c r="C21" t="s">
        <v>9</v>
      </c>
      <c r="D21" t="s">
        <v>7</v>
      </c>
      <c r="E21" t="s">
        <v>17</v>
      </c>
      <c r="F21" t="str">
        <f t="shared" si="1"/>
        <v>temporada['regular']</v>
      </c>
      <c r="G21" t="str">
        <f t="shared" si="2"/>
        <v>dias['30_60']</v>
      </c>
      <c r="H21" t="str">
        <f t="shared" si="3"/>
        <v>disponibilidad['media']</v>
      </c>
      <c r="I21" t="str">
        <f t="shared" si="4"/>
        <v>descuento['moderado']</v>
      </c>
      <c r="J21" t="str">
        <f t="shared" si="5"/>
        <v>temporada['regular'] &amp; dias['30_60'] &amp; disponibilidad['media']</v>
      </c>
      <c r="K21" t="str">
        <f t="shared" si="6"/>
        <v>rule_20</v>
      </c>
      <c r="L21" t="str">
        <f t="shared" si="7"/>
        <v>rule_20 = ctrl.Rule(temporada['regular'] &amp; dias['30_60'] &amp; disponibilidad['media'], descuento['moderado'])</v>
      </c>
    </row>
    <row r="22" spans="1:12" x14ac:dyDescent="0.3">
      <c r="A22">
        <v>21</v>
      </c>
      <c r="B22" t="s">
        <v>13</v>
      </c>
      <c r="C22" t="s">
        <v>9</v>
      </c>
      <c r="D22" t="s">
        <v>8</v>
      </c>
      <c r="E22" t="s">
        <v>17</v>
      </c>
      <c r="F22" t="str">
        <f t="shared" si="1"/>
        <v>temporada['regular']</v>
      </c>
      <c r="G22" t="str">
        <f t="shared" si="2"/>
        <v>dias['30_60']</v>
      </c>
      <c r="H22" t="str">
        <f t="shared" si="3"/>
        <v>disponibilidad['alta']</v>
      </c>
      <c r="I22" t="str">
        <f t="shared" si="4"/>
        <v>descuento['moderado']</v>
      </c>
      <c r="J22" t="str">
        <f t="shared" si="5"/>
        <v>temporada['regular'] &amp; dias['30_60'] &amp; disponibilidad['alta']</v>
      </c>
      <c r="K22" t="str">
        <f t="shared" si="6"/>
        <v>rule_21</v>
      </c>
      <c r="L22" t="str">
        <f t="shared" si="7"/>
        <v>rule_21 = ctrl.Rule(temporada['regular'] &amp; dias['30_60'] &amp; disponibilidad['alta'], descuento['moderado'])</v>
      </c>
    </row>
    <row r="23" spans="1:12" x14ac:dyDescent="0.3">
      <c r="A23">
        <v>22</v>
      </c>
      <c r="B23" t="s">
        <v>13</v>
      </c>
      <c r="C23" t="s">
        <v>10</v>
      </c>
      <c r="D23" t="s">
        <v>6</v>
      </c>
      <c r="E23" t="s">
        <v>16</v>
      </c>
      <c r="F23" t="str">
        <f t="shared" si="1"/>
        <v>temporada['regular']</v>
      </c>
      <c r="G23" t="str">
        <f t="shared" si="2"/>
        <v>dias['60_120']</v>
      </c>
      <c r="H23" t="str">
        <f t="shared" si="3"/>
        <v>disponibilidad['baja']</v>
      </c>
      <c r="I23" t="str">
        <f t="shared" si="4"/>
        <v>descuento['bajo']</v>
      </c>
      <c r="J23" t="str">
        <f t="shared" si="5"/>
        <v>temporada['regular'] &amp; dias['60_120'] &amp; disponibilidad['baja']</v>
      </c>
      <c r="K23" t="str">
        <f t="shared" si="6"/>
        <v>rule_22</v>
      </c>
      <c r="L23" t="str">
        <f t="shared" si="7"/>
        <v>rule_22 = ctrl.Rule(temporada['regular'] &amp; dias['60_120'] &amp; disponibilidad['baja'], descuento['bajo'])</v>
      </c>
    </row>
    <row r="24" spans="1:12" x14ac:dyDescent="0.3">
      <c r="A24">
        <v>23</v>
      </c>
      <c r="B24" t="s">
        <v>13</v>
      </c>
      <c r="C24" t="s">
        <v>10</v>
      </c>
      <c r="D24" t="s">
        <v>7</v>
      </c>
      <c r="E24" t="s">
        <v>16</v>
      </c>
      <c r="F24" t="str">
        <f t="shared" si="1"/>
        <v>temporada['regular']</v>
      </c>
      <c r="G24" t="str">
        <f t="shared" si="2"/>
        <v>dias['60_120']</v>
      </c>
      <c r="H24" t="str">
        <f t="shared" si="3"/>
        <v>disponibilidad['media']</v>
      </c>
      <c r="I24" t="str">
        <f t="shared" si="4"/>
        <v>descuento['bajo']</v>
      </c>
      <c r="J24" t="str">
        <f t="shared" si="5"/>
        <v>temporada['regular'] &amp; dias['60_120'] &amp; disponibilidad['media']</v>
      </c>
      <c r="K24" t="str">
        <f t="shared" si="6"/>
        <v>rule_23</v>
      </c>
      <c r="L24" t="str">
        <f t="shared" si="7"/>
        <v>rule_23 = ctrl.Rule(temporada['regular'] &amp; dias['60_120'] &amp; disponibilidad['media'], descuento['bajo'])</v>
      </c>
    </row>
    <row r="25" spans="1:12" x14ac:dyDescent="0.3">
      <c r="A25">
        <v>24</v>
      </c>
      <c r="B25" t="s">
        <v>13</v>
      </c>
      <c r="C25" t="s">
        <v>10</v>
      </c>
      <c r="D25" t="s">
        <v>8</v>
      </c>
      <c r="E25" t="s">
        <v>17</v>
      </c>
      <c r="F25" t="str">
        <f t="shared" si="1"/>
        <v>temporada['regular']</v>
      </c>
      <c r="G25" t="str">
        <f t="shared" si="2"/>
        <v>dias['60_120']</v>
      </c>
      <c r="H25" t="str">
        <f t="shared" si="3"/>
        <v>disponibilidad['alta']</v>
      </c>
      <c r="I25" t="str">
        <f t="shared" si="4"/>
        <v>descuento['moderado']</v>
      </c>
      <c r="J25" t="str">
        <f t="shared" si="5"/>
        <v>temporada['regular'] &amp; dias['60_120'] &amp; disponibilidad['alta']</v>
      </c>
      <c r="K25" t="str">
        <f t="shared" si="6"/>
        <v>rule_24</v>
      </c>
      <c r="L25" t="str">
        <f t="shared" si="7"/>
        <v>rule_24 = ctrl.Rule(temporada['regular'] &amp; dias['60_120'] &amp; disponibilidad['alta'], descuento['moderado'])</v>
      </c>
    </row>
    <row r="26" spans="1:12" x14ac:dyDescent="0.3">
      <c r="A26">
        <v>25</v>
      </c>
      <c r="B26" t="s">
        <v>13</v>
      </c>
      <c r="C26" t="s">
        <v>11</v>
      </c>
      <c r="D26" t="s">
        <v>6</v>
      </c>
      <c r="E26" t="s">
        <v>16</v>
      </c>
      <c r="F26" t="str">
        <f t="shared" si="1"/>
        <v>temporada['regular']</v>
      </c>
      <c r="G26" t="str">
        <f t="shared" si="2"/>
        <v>dias['120_180']</v>
      </c>
      <c r="H26" t="str">
        <f t="shared" si="3"/>
        <v>disponibilidad['baja']</v>
      </c>
      <c r="I26" t="str">
        <f t="shared" si="4"/>
        <v>descuento['bajo']</v>
      </c>
      <c r="J26" t="str">
        <f t="shared" si="5"/>
        <v>temporada['regular'] &amp; dias['120_180'] &amp; disponibilidad['baja']</v>
      </c>
      <c r="K26" t="str">
        <f t="shared" si="6"/>
        <v>rule_25</v>
      </c>
      <c r="L26" t="str">
        <f t="shared" si="7"/>
        <v>rule_25 = ctrl.Rule(temporada['regular'] &amp; dias['120_180'] &amp; disponibilidad['baja'], descuento['bajo'])</v>
      </c>
    </row>
    <row r="27" spans="1:12" x14ac:dyDescent="0.3">
      <c r="A27">
        <v>26</v>
      </c>
      <c r="B27" t="s">
        <v>13</v>
      </c>
      <c r="C27" t="s">
        <v>11</v>
      </c>
      <c r="D27" t="s">
        <v>7</v>
      </c>
      <c r="E27" t="s">
        <v>16</v>
      </c>
      <c r="F27" t="str">
        <f t="shared" si="1"/>
        <v>temporada['regular']</v>
      </c>
      <c r="G27" t="str">
        <f t="shared" si="2"/>
        <v>dias['120_180']</v>
      </c>
      <c r="H27" t="str">
        <f t="shared" si="3"/>
        <v>disponibilidad['media']</v>
      </c>
      <c r="I27" t="str">
        <f t="shared" si="4"/>
        <v>descuento['bajo']</v>
      </c>
      <c r="J27" t="str">
        <f t="shared" si="5"/>
        <v>temporada['regular'] &amp; dias['120_180'] &amp; disponibilidad['media']</v>
      </c>
      <c r="K27" t="str">
        <f t="shared" si="6"/>
        <v>rule_26</v>
      </c>
      <c r="L27" t="str">
        <f t="shared" si="7"/>
        <v>rule_26 = ctrl.Rule(temporada['regular'] &amp; dias['120_180'] &amp; disponibilidad['media'], descuento['bajo'])</v>
      </c>
    </row>
    <row r="28" spans="1:12" x14ac:dyDescent="0.3">
      <c r="A28">
        <v>27</v>
      </c>
      <c r="B28" t="s">
        <v>13</v>
      </c>
      <c r="C28" t="s">
        <v>11</v>
      </c>
      <c r="D28" t="s">
        <v>8</v>
      </c>
      <c r="E28" t="s">
        <v>17</v>
      </c>
      <c r="F28" t="str">
        <f t="shared" si="1"/>
        <v>temporada['regular']</v>
      </c>
      <c r="G28" t="str">
        <f t="shared" si="2"/>
        <v>dias['120_180']</v>
      </c>
      <c r="H28" t="str">
        <f t="shared" si="3"/>
        <v>disponibilidad['alta']</v>
      </c>
      <c r="I28" t="str">
        <f t="shared" si="4"/>
        <v>descuento['moderado']</v>
      </c>
      <c r="J28" t="str">
        <f t="shared" si="5"/>
        <v>temporada['regular'] &amp; dias['120_180'] &amp; disponibilidad['alta']</v>
      </c>
      <c r="K28" t="str">
        <f t="shared" si="6"/>
        <v>rule_27</v>
      </c>
      <c r="L28" t="str">
        <f t="shared" si="7"/>
        <v>rule_27 = ctrl.Rule(temporada['regular'] &amp; dias['120_180'] &amp; disponibilidad['alta'], descuento['moderado'])</v>
      </c>
    </row>
    <row r="29" spans="1:12" x14ac:dyDescent="0.3">
      <c r="A29">
        <v>28</v>
      </c>
      <c r="B29" t="s">
        <v>13</v>
      </c>
      <c r="C29" t="s">
        <v>12</v>
      </c>
      <c r="D29" t="s">
        <v>6</v>
      </c>
      <c r="E29" t="s">
        <v>16</v>
      </c>
      <c r="F29" t="str">
        <f t="shared" si="1"/>
        <v>temporada['regular']</v>
      </c>
      <c r="G29" t="str">
        <f t="shared" si="2"/>
        <v>dias['180_365']</v>
      </c>
      <c r="H29" t="str">
        <f t="shared" si="3"/>
        <v>disponibilidad['baja']</v>
      </c>
      <c r="I29" t="str">
        <f t="shared" si="4"/>
        <v>descuento['bajo']</v>
      </c>
      <c r="J29" t="str">
        <f t="shared" si="5"/>
        <v>temporada['regular'] &amp; dias['180_365'] &amp; disponibilidad['baja']</v>
      </c>
      <c r="K29" t="str">
        <f t="shared" si="6"/>
        <v>rule_28</v>
      </c>
      <c r="L29" t="str">
        <f t="shared" si="7"/>
        <v>rule_28 = ctrl.Rule(temporada['regular'] &amp; dias['180_365'] &amp; disponibilidad['baja'], descuento['bajo'])</v>
      </c>
    </row>
    <row r="30" spans="1:12" x14ac:dyDescent="0.3">
      <c r="A30">
        <v>29</v>
      </c>
      <c r="B30" t="s">
        <v>13</v>
      </c>
      <c r="C30" t="s">
        <v>12</v>
      </c>
      <c r="D30" t="s">
        <v>7</v>
      </c>
      <c r="E30" t="s">
        <v>16</v>
      </c>
      <c r="F30" t="str">
        <f t="shared" si="1"/>
        <v>temporada['regular']</v>
      </c>
      <c r="G30" t="str">
        <f t="shared" si="2"/>
        <v>dias['180_365']</v>
      </c>
      <c r="H30" t="str">
        <f t="shared" si="3"/>
        <v>disponibilidad['media']</v>
      </c>
      <c r="I30" t="str">
        <f t="shared" si="4"/>
        <v>descuento['bajo']</v>
      </c>
      <c r="J30" t="str">
        <f t="shared" si="5"/>
        <v>temporada['regular'] &amp; dias['180_365'] &amp; disponibilidad['media']</v>
      </c>
      <c r="K30" t="str">
        <f t="shared" si="6"/>
        <v>rule_29</v>
      </c>
      <c r="L30" t="str">
        <f t="shared" si="7"/>
        <v>rule_29 = ctrl.Rule(temporada['regular'] &amp; dias['180_365'] &amp; disponibilidad['media'], descuento['bajo'])</v>
      </c>
    </row>
    <row r="31" spans="1:12" x14ac:dyDescent="0.3">
      <c r="A31">
        <v>30</v>
      </c>
      <c r="B31" t="s">
        <v>13</v>
      </c>
      <c r="C31" t="s">
        <v>12</v>
      </c>
      <c r="D31" t="s">
        <v>8</v>
      </c>
      <c r="E31" t="s">
        <v>16</v>
      </c>
      <c r="F31" t="str">
        <f t="shared" si="1"/>
        <v>temporada['regular']</v>
      </c>
      <c r="G31" t="str">
        <f t="shared" si="2"/>
        <v>dias['180_365']</v>
      </c>
      <c r="H31" t="str">
        <f t="shared" si="3"/>
        <v>disponibilidad['alta']</v>
      </c>
      <c r="I31" t="str">
        <f t="shared" si="4"/>
        <v>descuento['bajo']</v>
      </c>
      <c r="J31" t="str">
        <f t="shared" si="5"/>
        <v>temporada['regular'] &amp; dias['180_365'] &amp; disponibilidad['alta']</v>
      </c>
      <c r="K31" t="str">
        <f t="shared" si="6"/>
        <v>rule_30</v>
      </c>
      <c r="L31" t="str">
        <f t="shared" si="7"/>
        <v>rule_30 = ctrl.Rule(temporada['regular'] &amp; dias['180_365'] &amp; disponibilidad['alta'], descuento['bajo'])</v>
      </c>
    </row>
    <row r="32" spans="1:12" x14ac:dyDescent="0.3">
      <c r="A32">
        <v>31</v>
      </c>
      <c r="B32" t="s">
        <v>14</v>
      </c>
      <c r="C32" t="s">
        <v>5</v>
      </c>
      <c r="D32" t="s">
        <v>6</v>
      </c>
      <c r="E32" t="s">
        <v>15</v>
      </c>
      <c r="F32" t="str">
        <f t="shared" si="1"/>
        <v>temporada['low']</v>
      </c>
      <c r="G32" t="str">
        <f t="shared" si="2"/>
        <v>dias['00_30']</v>
      </c>
      <c r="H32" t="str">
        <f t="shared" si="3"/>
        <v>disponibilidad['baja']</v>
      </c>
      <c r="I32" t="str">
        <f t="shared" si="4"/>
        <v>descuento['alto']</v>
      </c>
      <c r="J32" t="str">
        <f t="shared" si="5"/>
        <v>temporada['low'] &amp; dias['00_30'] &amp; disponibilidad['baja']</v>
      </c>
      <c r="K32" t="str">
        <f t="shared" si="6"/>
        <v>rule_31</v>
      </c>
      <c r="L32" t="str">
        <f t="shared" si="7"/>
        <v>rule_31 = ctrl.Rule(temporada['low'] &amp; dias['00_30'] &amp; disponibilidad['baja'], descuento['alto'])</v>
      </c>
    </row>
    <row r="33" spans="1:12" x14ac:dyDescent="0.3">
      <c r="A33">
        <v>32</v>
      </c>
      <c r="B33" t="s">
        <v>14</v>
      </c>
      <c r="C33" t="s">
        <v>5</v>
      </c>
      <c r="D33" t="s">
        <v>7</v>
      </c>
      <c r="E33" t="s">
        <v>18</v>
      </c>
      <c r="F33" t="str">
        <f t="shared" si="1"/>
        <v>temporada['low']</v>
      </c>
      <c r="G33" t="str">
        <f t="shared" si="2"/>
        <v>dias['00_30']</v>
      </c>
      <c r="H33" t="str">
        <f t="shared" si="3"/>
        <v>disponibilidad['media']</v>
      </c>
      <c r="I33" t="str">
        <f t="shared" si="4"/>
        <v>descuento['muy_alto']</v>
      </c>
      <c r="J33" t="str">
        <f t="shared" si="5"/>
        <v>temporada['low'] &amp; dias['00_30'] &amp; disponibilidad['media']</v>
      </c>
      <c r="K33" t="str">
        <f t="shared" si="6"/>
        <v>rule_32</v>
      </c>
      <c r="L33" t="str">
        <f t="shared" si="7"/>
        <v>rule_32 = ctrl.Rule(temporada['low'] &amp; dias['00_30'] &amp; disponibilidad['media'], descuento['muy_alto'])</v>
      </c>
    </row>
    <row r="34" spans="1:12" x14ac:dyDescent="0.3">
      <c r="A34">
        <v>33</v>
      </c>
      <c r="B34" t="s">
        <v>14</v>
      </c>
      <c r="C34" t="s">
        <v>5</v>
      </c>
      <c r="D34" t="s">
        <v>8</v>
      </c>
      <c r="E34" t="s">
        <v>18</v>
      </c>
      <c r="F34" t="str">
        <f t="shared" si="1"/>
        <v>temporada['low']</v>
      </c>
      <c r="G34" t="str">
        <f t="shared" si="2"/>
        <v>dias['00_30']</v>
      </c>
      <c r="H34" t="str">
        <f t="shared" si="3"/>
        <v>disponibilidad['alta']</v>
      </c>
      <c r="I34" t="str">
        <f t="shared" si="4"/>
        <v>descuento['muy_alto']</v>
      </c>
      <c r="J34" t="str">
        <f t="shared" si="5"/>
        <v>temporada['low'] &amp; dias['00_30'] &amp; disponibilidad['alta']</v>
      </c>
      <c r="K34" t="str">
        <f t="shared" si="6"/>
        <v>rule_33</v>
      </c>
      <c r="L34" t="str">
        <f t="shared" si="7"/>
        <v>rule_33 = ctrl.Rule(temporada['low'] &amp; dias['00_30'] &amp; disponibilidad['alta'], descuento['muy_alto'])</v>
      </c>
    </row>
    <row r="35" spans="1:12" x14ac:dyDescent="0.3">
      <c r="A35">
        <v>34</v>
      </c>
      <c r="B35" t="s">
        <v>14</v>
      </c>
      <c r="C35" t="s">
        <v>9</v>
      </c>
      <c r="D35" t="s">
        <v>6</v>
      </c>
      <c r="E35" t="s">
        <v>15</v>
      </c>
      <c r="F35" t="str">
        <f t="shared" si="1"/>
        <v>temporada['low']</v>
      </c>
      <c r="G35" t="str">
        <f t="shared" si="2"/>
        <v>dias['30_60']</v>
      </c>
      <c r="H35" t="str">
        <f t="shared" si="3"/>
        <v>disponibilidad['baja']</v>
      </c>
      <c r="I35" t="str">
        <f t="shared" si="4"/>
        <v>descuento['alto']</v>
      </c>
      <c r="J35" t="str">
        <f t="shared" si="5"/>
        <v>temporada['low'] &amp; dias['30_60'] &amp; disponibilidad['baja']</v>
      </c>
      <c r="K35" t="str">
        <f t="shared" si="6"/>
        <v>rule_34</v>
      </c>
      <c r="L35" t="str">
        <f t="shared" si="7"/>
        <v>rule_34 = ctrl.Rule(temporada['low'] &amp; dias['30_60'] &amp; disponibilidad['baja'], descuento['alto'])</v>
      </c>
    </row>
    <row r="36" spans="1:12" x14ac:dyDescent="0.3">
      <c r="A36">
        <v>35</v>
      </c>
      <c r="B36" t="s">
        <v>14</v>
      </c>
      <c r="C36" t="s">
        <v>9</v>
      </c>
      <c r="D36" t="s">
        <v>7</v>
      </c>
      <c r="E36" t="s">
        <v>15</v>
      </c>
      <c r="F36" t="str">
        <f t="shared" si="1"/>
        <v>temporada['low']</v>
      </c>
      <c r="G36" t="str">
        <f t="shared" si="2"/>
        <v>dias['30_60']</v>
      </c>
      <c r="H36" t="str">
        <f t="shared" si="3"/>
        <v>disponibilidad['media']</v>
      </c>
      <c r="I36" t="str">
        <f t="shared" si="4"/>
        <v>descuento['alto']</v>
      </c>
      <c r="J36" t="str">
        <f t="shared" si="5"/>
        <v>temporada['low'] &amp; dias['30_60'] &amp; disponibilidad['media']</v>
      </c>
      <c r="K36" t="str">
        <f t="shared" si="6"/>
        <v>rule_35</v>
      </c>
      <c r="L36" t="str">
        <f t="shared" si="7"/>
        <v>rule_35 = ctrl.Rule(temporada['low'] &amp; dias['30_60'] &amp; disponibilidad['media'], descuento['alto'])</v>
      </c>
    </row>
    <row r="37" spans="1:12" x14ac:dyDescent="0.3">
      <c r="A37">
        <v>36</v>
      </c>
      <c r="B37" t="s">
        <v>14</v>
      </c>
      <c r="C37" t="s">
        <v>9</v>
      </c>
      <c r="D37" t="s">
        <v>8</v>
      </c>
      <c r="E37" t="s">
        <v>18</v>
      </c>
      <c r="F37" t="str">
        <f t="shared" si="1"/>
        <v>temporada['low']</v>
      </c>
      <c r="G37" t="str">
        <f t="shared" si="2"/>
        <v>dias['30_60']</v>
      </c>
      <c r="H37" t="str">
        <f t="shared" si="3"/>
        <v>disponibilidad['alta']</v>
      </c>
      <c r="I37" t="str">
        <f t="shared" si="4"/>
        <v>descuento['muy_alto']</v>
      </c>
      <c r="J37" t="str">
        <f t="shared" si="5"/>
        <v>temporada['low'] &amp; dias['30_60'] &amp; disponibilidad['alta']</v>
      </c>
      <c r="K37" t="str">
        <f t="shared" si="6"/>
        <v>rule_36</v>
      </c>
      <c r="L37" t="str">
        <f t="shared" si="7"/>
        <v>rule_36 = ctrl.Rule(temporada['low'] &amp; dias['30_60'] &amp; disponibilidad['alta'], descuento['muy_alto'])</v>
      </c>
    </row>
    <row r="38" spans="1:12" x14ac:dyDescent="0.3">
      <c r="A38">
        <v>37</v>
      </c>
      <c r="B38" t="s">
        <v>14</v>
      </c>
      <c r="C38" t="s">
        <v>10</v>
      </c>
      <c r="D38" t="s">
        <v>6</v>
      </c>
      <c r="E38" t="s">
        <v>16</v>
      </c>
      <c r="F38" t="str">
        <f t="shared" si="1"/>
        <v>temporada['low']</v>
      </c>
      <c r="G38" t="str">
        <f t="shared" si="2"/>
        <v>dias['60_120']</v>
      </c>
      <c r="H38" t="str">
        <f t="shared" si="3"/>
        <v>disponibilidad['baja']</v>
      </c>
      <c r="I38" t="str">
        <f t="shared" si="4"/>
        <v>descuento['bajo']</v>
      </c>
      <c r="J38" t="str">
        <f t="shared" si="5"/>
        <v>temporada['low'] &amp; dias['60_120'] &amp; disponibilidad['baja']</v>
      </c>
      <c r="K38" t="str">
        <f t="shared" si="6"/>
        <v>rule_37</v>
      </c>
      <c r="L38" t="str">
        <f t="shared" si="7"/>
        <v>rule_37 = ctrl.Rule(temporada['low'] &amp; dias['60_120'] &amp; disponibilidad['baja'], descuento['bajo'])</v>
      </c>
    </row>
    <row r="39" spans="1:12" x14ac:dyDescent="0.3">
      <c r="A39">
        <v>38</v>
      </c>
      <c r="B39" t="s">
        <v>14</v>
      </c>
      <c r="C39" t="s">
        <v>10</v>
      </c>
      <c r="D39" t="s">
        <v>7</v>
      </c>
      <c r="E39" t="s">
        <v>17</v>
      </c>
      <c r="F39" t="str">
        <f t="shared" si="1"/>
        <v>temporada['low']</v>
      </c>
      <c r="G39" t="str">
        <f t="shared" si="2"/>
        <v>dias['60_120']</v>
      </c>
      <c r="H39" t="str">
        <f t="shared" si="3"/>
        <v>disponibilidad['media']</v>
      </c>
      <c r="I39" t="str">
        <f t="shared" si="4"/>
        <v>descuento['moderado']</v>
      </c>
      <c r="J39" t="str">
        <f t="shared" si="5"/>
        <v>temporada['low'] &amp; dias['60_120'] &amp; disponibilidad['media']</v>
      </c>
      <c r="K39" t="str">
        <f t="shared" si="6"/>
        <v>rule_38</v>
      </c>
      <c r="L39" t="str">
        <f t="shared" si="7"/>
        <v>rule_38 = ctrl.Rule(temporada['low'] &amp; dias['60_120'] &amp; disponibilidad['media'], descuento['moderado'])</v>
      </c>
    </row>
    <row r="40" spans="1:12" x14ac:dyDescent="0.3">
      <c r="A40">
        <v>39</v>
      </c>
      <c r="B40" t="s">
        <v>14</v>
      </c>
      <c r="C40" t="s">
        <v>10</v>
      </c>
      <c r="D40" t="s">
        <v>8</v>
      </c>
      <c r="E40" t="s">
        <v>15</v>
      </c>
      <c r="F40" t="str">
        <f t="shared" si="1"/>
        <v>temporada['low']</v>
      </c>
      <c r="G40" t="str">
        <f t="shared" si="2"/>
        <v>dias['60_120']</v>
      </c>
      <c r="H40" t="str">
        <f t="shared" si="3"/>
        <v>disponibilidad['alta']</v>
      </c>
      <c r="I40" t="str">
        <f t="shared" si="4"/>
        <v>descuento['alto']</v>
      </c>
      <c r="J40" t="str">
        <f t="shared" si="5"/>
        <v>temporada['low'] &amp; dias['60_120'] &amp; disponibilidad['alta']</v>
      </c>
      <c r="K40" t="str">
        <f t="shared" si="6"/>
        <v>rule_39</v>
      </c>
      <c r="L40" t="str">
        <f t="shared" si="7"/>
        <v>rule_39 = ctrl.Rule(temporada['low'] &amp; dias['60_120'] &amp; disponibilidad['alta'], descuento['alto'])</v>
      </c>
    </row>
    <row r="41" spans="1:12" x14ac:dyDescent="0.3">
      <c r="A41">
        <v>40</v>
      </c>
      <c r="B41" t="s">
        <v>14</v>
      </c>
      <c r="C41" t="s">
        <v>11</v>
      </c>
      <c r="D41" t="s">
        <v>6</v>
      </c>
      <c r="E41" t="s">
        <v>16</v>
      </c>
      <c r="F41" t="str">
        <f t="shared" si="1"/>
        <v>temporada['low']</v>
      </c>
      <c r="G41" t="str">
        <f t="shared" si="2"/>
        <v>dias['120_180']</v>
      </c>
      <c r="H41" t="str">
        <f t="shared" si="3"/>
        <v>disponibilidad['baja']</v>
      </c>
      <c r="I41" t="str">
        <f t="shared" si="4"/>
        <v>descuento['bajo']</v>
      </c>
      <c r="J41" t="str">
        <f t="shared" si="5"/>
        <v>temporada['low'] &amp; dias['120_180'] &amp; disponibilidad['baja']</v>
      </c>
      <c r="K41" t="str">
        <f t="shared" si="6"/>
        <v>rule_40</v>
      </c>
      <c r="L41" t="str">
        <f t="shared" si="7"/>
        <v>rule_40 = ctrl.Rule(temporada['low'] &amp; dias['120_180'] &amp; disponibilidad['baja'], descuento['bajo'])</v>
      </c>
    </row>
    <row r="42" spans="1:12" x14ac:dyDescent="0.3">
      <c r="A42">
        <v>41</v>
      </c>
      <c r="B42" t="s">
        <v>14</v>
      </c>
      <c r="C42" t="s">
        <v>11</v>
      </c>
      <c r="D42" t="s">
        <v>7</v>
      </c>
      <c r="E42" t="s">
        <v>16</v>
      </c>
      <c r="F42" t="str">
        <f t="shared" si="1"/>
        <v>temporada['low']</v>
      </c>
      <c r="G42" t="str">
        <f t="shared" si="2"/>
        <v>dias['120_180']</v>
      </c>
      <c r="H42" t="str">
        <f t="shared" si="3"/>
        <v>disponibilidad['media']</v>
      </c>
      <c r="I42" t="str">
        <f t="shared" si="4"/>
        <v>descuento['bajo']</v>
      </c>
      <c r="J42" t="str">
        <f t="shared" si="5"/>
        <v>temporada['low'] &amp; dias['120_180'] &amp; disponibilidad['media']</v>
      </c>
      <c r="K42" t="str">
        <f t="shared" si="6"/>
        <v>rule_41</v>
      </c>
      <c r="L42" t="str">
        <f t="shared" si="7"/>
        <v>rule_41 = ctrl.Rule(temporada['low'] &amp; dias['120_180'] &amp; disponibilidad['media'], descuento['bajo'])</v>
      </c>
    </row>
    <row r="43" spans="1:12" x14ac:dyDescent="0.3">
      <c r="A43">
        <v>42</v>
      </c>
      <c r="B43" t="s">
        <v>14</v>
      </c>
      <c r="C43" t="s">
        <v>11</v>
      </c>
      <c r="D43" t="s">
        <v>8</v>
      </c>
      <c r="E43" t="s">
        <v>17</v>
      </c>
      <c r="F43" t="str">
        <f t="shared" si="1"/>
        <v>temporada['low']</v>
      </c>
      <c r="G43" t="str">
        <f t="shared" si="2"/>
        <v>dias['120_180']</v>
      </c>
      <c r="H43" t="str">
        <f t="shared" si="3"/>
        <v>disponibilidad['alta']</v>
      </c>
      <c r="I43" t="str">
        <f t="shared" si="4"/>
        <v>descuento['moderado']</v>
      </c>
      <c r="J43" t="str">
        <f t="shared" si="5"/>
        <v>temporada['low'] &amp; dias['120_180'] &amp; disponibilidad['alta']</v>
      </c>
      <c r="K43" t="str">
        <f t="shared" si="6"/>
        <v>rule_42</v>
      </c>
      <c r="L43" t="str">
        <f t="shared" si="7"/>
        <v>rule_42 = ctrl.Rule(temporada['low'] &amp; dias['120_180'] &amp; disponibilidad['alta'], descuento['moderado'])</v>
      </c>
    </row>
    <row r="44" spans="1:12" x14ac:dyDescent="0.3">
      <c r="A44">
        <v>43</v>
      </c>
      <c r="B44" t="s">
        <v>14</v>
      </c>
      <c r="C44" t="s">
        <v>12</v>
      </c>
      <c r="D44" t="s">
        <v>6</v>
      </c>
      <c r="E44" t="s">
        <v>16</v>
      </c>
      <c r="F44" t="str">
        <f t="shared" si="1"/>
        <v>temporada['low']</v>
      </c>
      <c r="G44" t="str">
        <f t="shared" si="2"/>
        <v>dias['180_365']</v>
      </c>
      <c r="H44" t="str">
        <f t="shared" si="3"/>
        <v>disponibilidad['baja']</v>
      </c>
      <c r="I44" t="str">
        <f t="shared" si="4"/>
        <v>descuento['bajo']</v>
      </c>
      <c r="J44" t="str">
        <f t="shared" si="5"/>
        <v>temporada['low'] &amp; dias['180_365'] &amp; disponibilidad['baja']</v>
      </c>
      <c r="K44" t="str">
        <f t="shared" si="6"/>
        <v>rule_43</v>
      </c>
      <c r="L44" t="str">
        <f t="shared" si="7"/>
        <v>rule_43 = ctrl.Rule(temporada['low'] &amp; dias['180_365'] &amp; disponibilidad['baja'], descuento['bajo'])</v>
      </c>
    </row>
    <row r="45" spans="1:12" x14ac:dyDescent="0.3">
      <c r="A45">
        <v>44</v>
      </c>
      <c r="B45" t="s">
        <v>14</v>
      </c>
      <c r="C45" t="s">
        <v>12</v>
      </c>
      <c r="D45" t="s">
        <v>7</v>
      </c>
      <c r="E45" t="s">
        <v>16</v>
      </c>
      <c r="F45" t="str">
        <f t="shared" si="1"/>
        <v>temporada['low']</v>
      </c>
      <c r="G45" t="str">
        <f t="shared" si="2"/>
        <v>dias['180_365']</v>
      </c>
      <c r="H45" t="str">
        <f t="shared" si="3"/>
        <v>disponibilidad['media']</v>
      </c>
      <c r="I45" t="str">
        <f t="shared" si="4"/>
        <v>descuento['bajo']</v>
      </c>
      <c r="J45" t="str">
        <f t="shared" si="5"/>
        <v>temporada['low'] &amp; dias['180_365'] &amp; disponibilidad['media']</v>
      </c>
      <c r="K45" t="str">
        <f t="shared" si="6"/>
        <v>rule_44</v>
      </c>
      <c r="L45" t="str">
        <f t="shared" si="7"/>
        <v>rule_44 = ctrl.Rule(temporada['low'] &amp; dias['180_365'] &amp; disponibilidad['media'], descuento['bajo'])</v>
      </c>
    </row>
    <row r="46" spans="1:12" x14ac:dyDescent="0.3">
      <c r="A46">
        <v>45</v>
      </c>
      <c r="B46" t="s">
        <v>14</v>
      </c>
      <c r="C46" t="s">
        <v>12</v>
      </c>
      <c r="D46" t="s">
        <v>8</v>
      </c>
      <c r="E46" t="s">
        <v>17</v>
      </c>
      <c r="F46" t="str">
        <f t="shared" si="1"/>
        <v>temporada['low']</v>
      </c>
      <c r="G46" t="str">
        <f t="shared" si="2"/>
        <v>dias['180_365']</v>
      </c>
      <c r="H46" t="str">
        <f t="shared" si="3"/>
        <v>disponibilidad['alta']</v>
      </c>
      <c r="I46" t="str">
        <f t="shared" si="4"/>
        <v>descuento['moderado']</v>
      </c>
      <c r="J46" t="str">
        <f t="shared" si="5"/>
        <v>temporada['low'] &amp; dias['180_365'] &amp; disponibilidad['alta']</v>
      </c>
      <c r="K46" t="str">
        <f t="shared" si="6"/>
        <v>rule_45</v>
      </c>
      <c r="L46" t="str">
        <f t="shared" si="7"/>
        <v>rule_45 = ctrl.Rule(temporada['low'] &amp; dias['180_365'] &amp; disponibilidad['alta'], descuento['moderado'])</v>
      </c>
    </row>
    <row r="48" spans="1:12" x14ac:dyDescent="0.3">
      <c r="K48" t="str">
        <f>_xlfn.TEXTJOIN(",",TRUE,K2:K46)</f>
        <v>rule_01,rule_02,rule_03,rule_04,rule_05,rule_06,rule_07,rule_08,rule_09,rule_10,rule_11,rule_12,rule_13,rule_14,rule_15,rule_16,rule_17,rule_18,rule_19,rule_20,rule_21,rule_22,rule_23,rule_24,rule_25,rule_26,rule_27,rule_28,rule_29,rule_30,rule_31,rule_32,rule_33,rule_34,rule_35,rule_36,rule_37,rule_38,rule_39,rule_40,rule_41,rule_42,rule_43,rule_44,rule_45</v>
      </c>
      <c r="L48" t="str">
        <f>_xlfn.TEXTJOIN(CHAR(10),TRUE,L2:L46)</f>
        <v>rule_01 = ctrl.Rule(temporada['peak'] &amp; dias['00_30'] &amp; disponibilidad['baja'], descuento['moderado'])
rule_02 = ctrl.Rule(temporada['peak'] &amp; dias['00_30'] &amp; disponibilidad['media'], descuento['alto'])
rule_03 = ctrl.Rule(temporada['peak'] &amp; dias['00_30'] &amp; disponibilidad['alta'], descuento['alto'])
rule_04 = ctrl.Rule(temporada['peak'] &amp; dias['30_60'] &amp; disponibilidad['baja'], descuento['bajo'])
rule_05 = ctrl.Rule(temporada['peak'] &amp; dias['30_60'] &amp; disponibilidad['media'], descuento['moderado'])
rule_06 = ctrl.Rule(temporada['peak'] &amp; dias['30_60'] &amp; disponibilidad['alta'], descuento['moderado'])
rule_07 = ctrl.Rule(temporada['peak'] &amp; dias['60_120'] &amp; disponibilidad['baja'], descuento['bajo'])
rule_08 = ctrl.Rule(temporada['peak'] &amp; dias['60_120'] &amp; disponibilidad['media'], descuento['bajo'])
rule_09 = ctrl.Rule(temporada['peak'] &amp; dias['60_120'] &amp; disponibilidad['alta'], descuento['moderado'])
rule_10 = ctrl.Rule(temporada['peak'] &amp; dias['120_180'] &amp; disponibilidad['baja'], descuento['bajo'])
rule_11 = ctrl.Rule(temporada['peak'] &amp; dias['120_180'] &amp; disponibilidad['media'], descuento['bajo'])
rule_12 = ctrl.Rule(temporada['peak'] &amp; dias['120_180'] &amp; disponibilidad['alta'], descuento['bajo'])
rule_13 = ctrl.Rule(temporada['peak'] &amp; dias['180_365'] &amp; disponibilidad['baja'], descuento['bajo'])
rule_14 = ctrl.Rule(temporada['peak'] &amp; dias['180_365'] &amp; disponibilidad['media'], descuento['bajo'])
rule_15 = ctrl.Rule(temporada['peak'] &amp; dias['180_365'] &amp; disponibilidad['alta'], descuento['bajo'])
rule_16 = ctrl.Rule(temporada['regular'] &amp; dias['00_30'] &amp; disponibilidad['baja'], descuento['bajo'])
rule_17 = ctrl.Rule(temporada['regular'] &amp; dias['00_30'] &amp; disponibilidad['media'], descuento['moderado'])
rule_18 = ctrl.Rule(temporada['regular'] &amp; dias['00_30'] &amp; disponibilidad['alta'], descuento['alto'])
rule_19 = ctrl.Rule(temporada['regular'] &amp; dias['30_60'] &amp; disponibilidad['baja'], descuento['bajo'])
rule_20 = ctrl.Rule(temporada['regular'] &amp; dias['30_60'] &amp; disponibilidad['media'], descuento['moderado'])
rule_21 = ctrl.Rule(temporada['regular'] &amp; dias['30_60'] &amp; disponibilidad['alta'], descuento['moderado'])
rule_22 = ctrl.Rule(temporada['regular'] &amp; dias['60_120'] &amp; disponibilidad['baja'], descuento['bajo'])
rule_23 = ctrl.Rule(temporada['regular'] &amp; dias['60_120'] &amp; disponibilidad['media'], descuento['bajo'])
rule_24 = ctrl.Rule(temporada['regular'] &amp; dias['60_120'] &amp; disponibilidad['alta'], descuento['moderado'])
rule_25 = ctrl.Rule(temporada['regular'] &amp; dias['120_180'] &amp; disponibilidad['baja'], descuento['bajo'])
rule_26 = ctrl.Rule(temporada['regular'] &amp; dias['120_180'] &amp; disponibilidad['media'], descuento['bajo'])
rule_27 = ctrl.Rule(temporada['regular'] &amp; dias['120_180'] &amp; disponibilidad['alta'], descuento['moderado'])
rule_28 = ctrl.Rule(temporada['regular'] &amp; dias['180_365'] &amp; disponibilidad['baja'], descuento['bajo'])
rule_29 = ctrl.Rule(temporada['regular'] &amp; dias['180_365'] &amp; disponibilidad['media'], descuento['bajo'])
rule_30 = ctrl.Rule(temporada['regular'] &amp; dias['180_365'] &amp; disponibilidad['alta'], descuento['bajo'])
rule_31 = ctrl.Rule(temporada['low'] &amp; dias['00_30'] &amp; disponibilidad['baja'], descuento['alto'])
rule_32 = ctrl.Rule(temporada['low'] &amp; dias['00_30'] &amp; disponibilidad['media'], descuento['muy_alto'])
rule_33 = ctrl.Rule(temporada['low'] &amp; dias['00_30'] &amp; disponibilidad['alta'], descuento['muy_alto'])
rule_34 = ctrl.Rule(temporada['low'] &amp; dias['30_60'] &amp; disponibilidad['baja'], descuento['alto'])
rule_35 = ctrl.Rule(temporada['low'] &amp; dias['30_60'] &amp; disponibilidad['media'], descuento['alto'])
rule_36 = ctrl.Rule(temporada['low'] &amp; dias['30_60'] &amp; disponibilidad['alta'], descuento['muy_alto'])
rule_37 = ctrl.Rule(temporada['low'] &amp; dias['60_120'] &amp; disponibilidad['baja'], descuento['bajo'])
rule_38 = ctrl.Rule(temporada['low'] &amp; dias['60_120'] &amp; disponibilidad['media'], descuento['moderado'])
rule_39 = ctrl.Rule(temporada['low'] &amp; dias['60_120'] &amp; disponibilidad['alta'], descuento['alto'])
rule_40 = ctrl.Rule(temporada['low'] &amp; dias['120_180'] &amp; disponibilidad['baja'], descuento['bajo'])
rule_41 = ctrl.Rule(temporada['low'] &amp; dias['120_180'] &amp; disponibilidad['media'], descuento['bajo'])
rule_42 = ctrl.Rule(temporada['low'] &amp; dias['120_180'] &amp; disponibilidad['alta'], descuento['moderado'])
rule_43 = ctrl.Rule(temporada['low'] &amp; dias['180_365'] &amp; disponibilidad['baja'], descuento['bajo'])
rule_44 = ctrl.Rule(temporada['low'] &amp; dias['180_365'] &amp; disponibilidad['media'], descuento['bajo'])
rule_45 = ctrl.Rule(temporada['low'] &amp; dias['180_365'] &amp; disponibilidad['alta'], descuento['moderado'])</v>
      </c>
    </row>
    <row r="49" spans="11:12" x14ac:dyDescent="0.3">
      <c r="K49" t="s">
        <v>23</v>
      </c>
      <c r="L4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Araujo</dc:creator>
  <cp:lastModifiedBy>Juan Sebastian Araujo</cp:lastModifiedBy>
  <dcterms:created xsi:type="dcterms:W3CDTF">2025-12-01T21:34:32Z</dcterms:created>
  <dcterms:modified xsi:type="dcterms:W3CDTF">2025-12-02T20:01:47Z</dcterms:modified>
</cp:coreProperties>
</file>